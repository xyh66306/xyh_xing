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<sst xmlns="http://schemas.openxmlformats.org/spreadsheetml/2006/main" count="24" uniqueCount="23">
  <si>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商户订单号</t>
  </si>
  <si>
    <t>金额</t>
  </si>
  <si>
    <t>提现数量</t>
  </si>
  <si>
    <t>手续费</t>
  </si>
  <si>
    <t>结算数量</t>
  </si>
  <si>
    <t>收款人姓名</t>
  </si>
  <si>
    <t>银行名称</t>
  </si>
  <si>
    <t>银行卡号</t>
  </si>
  <si>
    <t>银行分支机构</t>
  </si>
  <si>
    <t>202512082114</t>
  </si>
  <si>
    <t>石磊</t>
  </si>
  <si>
    <t>中国银行</t>
  </si>
  <si>
    <t>6217888000000205477</t>
  </si>
  <si>
    <t>洛阳市政和路支行</t>
  </si>
  <si>
    <t>202512082115</t>
  </si>
  <si>
    <t>刘世平</t>
  </si>
  <si>
    <t>建设银行</t>
  </si>
  <si>
    <t>6217001590030100567</t>
  </si>
  <si>
    <t>宁波五乡支行</t>
  </si>
  <si>
    <t>202512082116</t>
  </si>
  <si>
    <t>陈雄</t>
  </si>
  <si>
    <t>6227001823030104209</t>
  </si>
  <si>
    <t>平潭支行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</si>
</sst>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16" sqref="D16"/>
    </sheetView>
  </sheetViews>
  <sheetFormatPr defaultColWidth="9" defaultRowHeight="14.25" outlineLevelRow="3"/>
  <cols>
    <col min="1" max="1" width="15" customWidth="1"/>
    <col min="3" max="4" width="12.625"/>
    <col min="5" max="5" width="19" customWidth="1"/>
    <col min="6" max="6" width="21.5" customWidth="1"/>
    <col min="8" max="8" width="36.875" customWidth="1"/>
    <col min="9" max="9" width="21.625" customWidth="1"/>
    <col min="10" max="10" width="3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>
        <v>6950</v>
      </c>
      <c r="C2">
        <f>ROUNDDOWN(B2/7.13,4)</f>
        <v>974.7545</v>
      </c>
      <c r="D2">
        <f>ROUNDDOWN(C2*0.005,4)</f>
        <v>4.8737</v>
      </c>
      <c r="E2">
        <f>ROUNDDOWN(C2+D2,4)</f>
        <v>979.6282</v>
      </c>
      <c r="F2" t="s">
        <v>10</v>
      </c>
      <c r="G2" t="s">
        <v>11</v>
      </c>
      <c r="H2" s="1" t="s">
        <v>12</v>
      </c>
      <c r="I2" t="s">
        <v>13</v>
      </c>
    </row>
    <row r="3" spans="1:9">
      <c r="A3" s="1" t="s">
        <v>14</v>
      </c>
      <c r="B3">
        <v>5560</v>
      </c>
      <c r="C3">
        <f>ROUNDDOWN(B3/7.13,4)</f>
        <v>779.8036</v>
      </c>
      <c r="D3">
        <f>ROUNDDOWN(C3*0.005,4)</f>
        <v>3.899</v>
      </c>
      <c r="E3">
        <f>ROUNDDOWN(C3+D3,4)</f>
        <v>783.7026</v>
      </c>
      <c r="F3" t="s">
        <v>15</v>
      </c>
      <c r="G3" t="s">
        <v>16</v>
      </c>
      <c r="H3" s="1" t="s">
        <v>17</v>
      </c>
      <c r="I3" t="s">
        <v>18</v>
      </c>
    </row>
    <row r="4" spans="1:9">
      <c r="A4" s="1" t="s">
        <v>19</v>
      </c>
      <c r="B4">
        <v>11815</v>
      </c>
      <c r="C4">
        <f>ROUNDDOWN(B4/7.13,4)</f>
        <v>1657.0827</v>
      </c>
      <c r="D4">
        <f>ROUNDDOWN(C4*0.005,4)</f>
        <v>8.2854</v>
      </c>
      <c r="E4">
        <f>ROUNDDOWN(C4+D4,4)</f>
        <v>1665.3681</v>
      </c>
      <c r="F4" t="s">
        <v>20</v>
      </c>
      <c r="G4" t="s">
        <v>16</v>
      </c>
      <c r="H4" s="1" t="s">
        <v>21</v>
      </c>
      <c r="I4" t="s">
        <v>22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飞天遁地小</cp:lastModifiedBy>
  <dcterms:created xsi:type="dcterms:W3CDTF">2016-12-02T08:54:00Z</dcterms:created>
  <dcterms:modified xsi:type="dcterms:W3CDTF">2025-12-08T07:10:17Z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76EBE3003F9646FAA1040F46A6E56205_13</vt:lpwstr>
  </property>
</Properties>
</file>