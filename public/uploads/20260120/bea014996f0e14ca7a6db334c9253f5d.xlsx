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<sst xmlns="http://schemas.openxmlformats.org/spreadsheetml/2006/main" count="24" uniqueCount="23">
  <si>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商户订单号</t>
  </si>
  <si>
    <t>金额</t>
  </si>
  <si>
    <t>提现数量</t>
  </si>
  <si>
    <t>手续费</t>
  </si>
  <si>
    <t>结算数量</t>
  </si>
  <si>
    <t>收款人姓名</t>
  </si>
  <si>
    <t>银行名称</t>
  </si>
  <si>
    <t>银行卡号</t>
  </si>
  <si>
    <t>银行分支机构</t>
  </si>
  <si>
    <t>202601201501</t>
  </si>
  <si>
    <t>马振刚</t>
  </si>
  <si>
    <t>中国建设银行</t>
  </si>
  <si>
    <t>6210812390005548450</t>
  </si>
  <si>
    <t>青岛中山路支行</t>
  </si>
  <si>
    <t>202601201502</t>
  </si>
  <si>
    <t>王艳</t>
  </si>
  <si>
    <t>江西农商银行</t>
  </si>
  <si>
    <t>6226822200385562787</t>
  </si>
  <si>
    <t>萍乡支行莲花县分行</t>
  </si>
  <si>
    <t>202601201503</t>
  </si>
  <si>
    <t>张双营</t>
  </si>
  <si>
    <t>6217002430025122830</t>
  </si>
  <si>
    <t>郑州文博支行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</si>
</sst>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F20" sqref="F20"/>
    </sheetView>
  </sheetViews>
  <sheetFormatPr defaultColWidth="9" defaultRowHeight="14.25" outlineLevelRow="3"/>
  <cols>
    <col min="1" max="1" width="15" customWidth="1"/>
    <col min="3" max="4" width="12.625"/>
    <col min="5" max="5" width="19" customWidth="1"/>
    <col min="6" max="6" width="21.5" customWidth="1"/>
    <col min="8" max="8" width="36.875" customWidth="1"/>
    <col min="9" max="9" width="21.625" customWidth="1"/>
    <col min="10" max="10" width="30.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>
        <v>17450</v>
      </c>
      <c r="C2">
        <f>ROUNDDOWN(B2/7.03,4)</f>
        <v>2482.219</v>
      </c>
      <c r="D2">
        <f>ROUNDDOWN(C2*0.005,4)</f>
        <v>12.411</v>
      </c>
      <c r="E2">
        <f>ROUNDDOWN(C2+D2,4)</f>
        <v>2494.63</v>
      </c>
      <c r="F2" t="s">
        <v>10</v>
      </c>
      <c r="G2" t="s">
        <v>11</v>
      </c>
      <c r="H2" t="s">
        <v>12</v>
      </c>
      <c r="I2" t="s">
        <v>13</v>
      </c>
    </row>
    <row r="3" spans="1:9">
      <c r="A3" s="1" t="s">
        <v>14</v>
      </c>
      <c r="B3">
        <v>10422</v>
      </c>
      <c r="C3">
        <f>ROUNDDOWN(B3/7.03,4)</f>
        <v>1482.5035</v>
      </c>
      <c r="D3">
        <f>ROUNDDOWN(C3*0.005,4)</f>
        <v>7.4125</v>
      </c>
      <c r="E3">
        <f>ROUNDDOWN(C3+D3,4)</f>
        <v>1489.916</v>
      </c>
      <c r="F3" t="s">
        <v>15</v>
      </c>
      <c r="G3" t="s">
        <v>16</v>
      </c>
      <c r="H3" t="s">
        <v>17</v>
      </c>
      <c r="I3" t="s">
        <v>18</v>
      </c>
    </row>
    <row r="4" spans="1:9">
      <c r="A4" s="1" t="s">
        <v>19</v>
      </c>
      <c r="B4">
        <v>34350</v>
      </c>
      <c r="C4">
        <f>ROUNDDOWN(B4/7.03,4)</f>
        <v>4886.2019</v>
      </c>
      <c r="D4">
        <f>ROUNDDOWN(C4*0.005,4)</f>
        <v>24.431</v>
      </c>
      <c r="E4">
        <f>ROUNDDOWN(C4+D4,4)</f>
        <v>4910.6329</v>
      </c>
      <c r="F4" t="s">
        <v>20</v>
      </c>
      <c r="G4" t="s">
        <v>11</v>
      </c>
      <c r="H4" t="s">
        <v>21</v>
      </c>
      <c r="I4" t="s">
        <v>22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飞天遁地小</cp:lastModifiedBy>
  <dcterms:created xsi:type="dcterms:W3CDTF">2016-12-02T08:54:00Z</dcterms:created>
  <dcterms:modified xsi:type="dcterms:W3CDTF">2026-01-20T07:22:56Z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76EBE3003F9646FAA1040F46A6E56205_13</vt:lpwstr>
  </property>
  <property fmtid="{D5CDD505-2E9C-101B-9397-08002B2CF9AE}" pid="4" name="CalculationRule">
    <vt:i4>0</vt:i4>
  </property>
</Properties>
</file>